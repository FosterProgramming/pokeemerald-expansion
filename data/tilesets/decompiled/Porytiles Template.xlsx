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heracross1991\current-projects\pokemon-seel-version\data\tilesets\decompiled\"/>
    </mc:Choice>
  </mc:AlternateContent>
  <xr:revisionPtr revIDLastSave="0" documentId="14_{8647A00A-FD1E-4247-845A-4BB19EBAD747}" xr6:coauthVersionLast="47" xr6:coauthVersionMax="47" xr10:uidLastSave="{00000000-0000-0000-0000-000000000000}"/>
  <bookViews>
    <workbookView xWindow="-120" yWindow="-120" windowWidth="29040" windowHeight="15720" activeTab="3" xr2:uid="{5AC83084-0AAA-4FBC-A423-071F15440E35}"/>
  </bookViews>
  <sheets>
    <sheet name="Porytiles Commands" sheetId="1" r:id="rId1"/>
    <sheet name="Primary Tilesets" sheetId="3" r:id="rId2"/>
    <sheet name="Secondary Tilesets" sheetId="4" r:id="rId3"/>
    <sheet name="Inputs-Outpu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17" i="2"/>
  <c r="B23" i="2"/>
  <c r="B5" i="2"/>
  <c r="B10" i="2"/>
  <c r="B12" i="2" s="1"/>
  <c r="B21" i="2"/>
  <c r="B16" i="2"/>
</calcChain>
</file>

<file path=xl/sharedStrings.xml><?xml version="1.0" encoding="utf-8"?>
<sst xmlns="http://schemas.openxmlformats.org/spreadsheetml/2006/main" count="64" uniqueCount="41">
  <si>
    <t>general_seel_version</t>
  </si>
  <si>
    <t>COMIPLE_PRIMARY</t>
  </si>
  <si>
    <t>Game Project Folder</t>
  </si>
  <si>
    <t>Decompiled Tileset</t>
  </si>
  <si>
    <t>Output (Paste in Ubuntu)</t>
  </si>
  <si>
    <t>COMIPLE_SECONDARY</t>
  </si>
  <si>
    <t>DECOMPILE_PRIMARY</t>
  </si>
  <si>
    <t>DECOMIPLE_SECONDARY</t>
  </si>
  <si>
    <t>Linked Primary (decompiled)</t>
  </si>
  <si>
    <t>Destination</t>
  </si>
  <si>
    <t>Game Project folder</t>
  </si>
  <si>
    <t>Game Project Folder (secondary)</t>
  </si>
  <si>
    <t>Game Project Folder (Primary)</t>
  </si>
  <si>
    <t>dominion_city</t>
  </si>
  <si>
    <t>driftshore</t>
  </si>
  <si>
    <t>stratoscape_primary</t>
  </si>
  <si>
    <t>Project Folder</t>
  </si>
  <si>
    <t>abyssal_reef_primary</t>
  </si>
  <si>
    <t>&lt;-formula -- paste into linux</t>
  </si>
  <si>
    <t>&lt;-manual input with projects game project folder</t>
  </si>
  <si>
    <t>&lt;-manual input decompiled tilesets destination folder</t>
  </si>
  <si>
    <t>&lt;-manual input with linked primary projects game folder</t>
  </si>
  <si>
    <t>sudo cp tools/porytiles/ porytiles /usr/local/bin</t>
  </si>
  <si>
    <t>Command to install nightly release</t>
  </si>
  <si>
    <t>&lt;-formula -- name same as destination</t>
  </si>
  <si>
    <t>Project File Location</t>
  </si>
  <si>
    <t>Decompiled Tileset Location</t>
  </si>
  <si>
    <t>&lt;-manual input with your project folder and location</t>
  </si>
  <si>
    <t>&lt;-manual input with where you would like your decompiled tilesets to go</t>
  </si>
  <si>
    <t>porytiles compile-primary -Wall -o</t>
  </si>
  <si>
    <t>~/current-projects/pokemon-seel-version/</t>
  </si>
  <si>
    <t>porytiles compile-secondary -Wall -o</t>
  </si>
  <si>
    <t>porytiles decompile-secondary -Wall -o</t>
  </si>
  <si>
    <t>&lt;- Manual input with your preferred compilation settings</t>
  </si>
  <si>
    <t>porytiles decompile-primary -o</t>
  </si>
  <si>
    <t>Compile Primary</t>
  </si>
  <si>
    <t xml:space="preserve">Decompile Primary </t>
  </si>
  <si>
    <t xml:space="preserve">Decompile Secondary </t>
  </si>
  <si>
    <t xml:space="preserve">Compile Secondary </t>
  </si>
  <si>
    <t>test</t>
  </si>
  <si>
    <t>~/current-projects/pokemon-seel-version/data/tilesets/decompiled/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</si>
</sst>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theme="7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3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/>
    <xf numFmtId="0" fontId="3" fillId="2" borderId="5" xfId="0" applyFont="1" applyFill="1" applyBorder="1"/>
    <xf numFmtId="0" fontId="3" fillId="2" borderId="9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0" xfId="0" applyFill="1"/>
    <xf numFmtId="0" fontId="0" fillId="2" borderId="0" xfId="0" applyFill="1" applyAlignment="1">
      <alignment horizontal="left" vertical="center" wrapText="1"/>
    </xf>
    <xf numFmtId="0" fontId="0" fillId="3" borderId="1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 wrapText="1"/>
    </xf>
    <xf numFmtId="0" fontId="0" fillId="2" borderId="18" xfId="0" applyFill="1" applyBorder="1"/>
    <xf numFmtId="0" fontId="0" fillId="3" borderId="5" xfId="0" applyFill="1" applyBorder="1" applyAlignment="1">
      <alignment horizontal="center" vertical="center"/>
    </xf>
    <xf numFmtId="0" fontId="3" fillId="2" borderId="17" xfId="0" applyFont="1" applyFill="1" applyBorder="1"/>
    <xf numFmtId="0" fontId="3" fillId="2" borderId="14" xfId="0" applyFont="1" applyFill="1" applyBorder="1"/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2" borderId="4" xfId="0" applyFill="1" applyBorder="1" applyAlignment="1">
      <alignment horizontal="left" vertical="center" wrapText="1"/>
    </xf>
    <xf numFmtId="0" fontId="0" fillId="2" borderId="11" xfId="0" applyFill="1" applyBorder="1"/>
    <xf numFmtId="0" fontId="4" fillId="2" borderId="0" xfId="0" applyFont="1" applyFill="1"/>
    <xf numFmtId="0" fontId="4" fillId="0" borderId="0" xfId="0" applyFont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7C9-C23D-43CA-BA65-488100D8E53D}">
  <dimension ref="A1:C16"/>
  <sheetViews>
    <sheetView workbookViewId="0">
      <selection activeCell="C4" sqref="C4"/>
    </sheetView>
  </sheetViews>
  <sheetFormatPr defaultRowHeight="15" x14ac:dyDescent="0.25"/>
  <cols>
    <col min="1" max="1" width="33.85546875" bestFit="1" customWidth="1"/>
    <col min="2" max="2" width="63.7109375" bestFit="1" customWidth="1"/>
    <col min="4" max="4" width="19" bestFit="1" customWidth="1"/>
  </cols>
  <sheetData>
    <row r="1" spans="1:3" x14ac:dyDescent="0.25">
      <c r="A1" s="1" t="s">
        <v>35</v>
      </c>
      <c r="B1" t="s">
        <v>29</v>
      </c>
      <c r="C1" t="s">
        <v>33</v>
      </c>
    </row>
    <row r="2" spans="1:3" x14ac:dyDescent="0.25">
      <c r="A2" s="2" t="s">
        <v>38</v>
      </c>
      <c r="B2" t="s">
        <v>31</v>
      </c>
      <c r="C2" t="s">
        <v>33</v>
      </c>
    </row>
    <row r="3" spans="1:3" x14ac:dyDescent="0.25">
      <c r="A3" s="2" t="s">
        <v>36</v>
      </c>
      <c r="B3" t="s">
        <v>34</v>
      </c>
      <c r="C3" t="s">
        <v>33</v>
      </c>
    </row>
    <row r="4" spans="1:3" x14ac:dyDescent="0.25">
      <c r="A4" s="2" t="s">
        <v>37</v>
      </c>
      <c r="B4" t="s">
        <v>32</v>
      </c>
      <c r="C4" t="s">
        <v>33</v>
      </c>
    </row>
    <row r="9" spans="1:3" x14ac:dyDescent="0.25">
      <c r="A9" s="1"/>
    </row>
    <row r="14" spans="1:3" x14ac:dyDescent="0.25">
      <c r="A14" s="1"/>
    </row>
    <row r="16" spans="1:3" x14ac:dyDescent="0.25">
      <c r="A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F8DD-25AC-4492-B1F4-AA4469879AE4}">
  <dimension ref="A1:A3"/>
  <sheetViews>
    <sheetView workbookViewId="0">
      <selection activeCell="A2" sqref="A2"/>
    </sheetView>
  </sheetViews>
  <sheetFormatPr defaultRowHeight="15" x14ac:dyDescent="0.25"/>
  <cols>
    <col min="1" max="1" width="20" bestFit="1" customWidth="1"/>
  </cols>
  <sheetData>
    <row r="1" spans="1:1" x14ac:dyDescent="0.25">
      <c r="A1" t="s">
        <v>16</v>
      </c>
    </row>
    <row r="2" spans="1:1" x14ac:dyDescent="0.25">
      <c r="A2" t="s">
        <v>15</v>
      </c>
    </row>
    <row r="3" spans="1:1" x14ac:dyDescent="0.25">
      <c r="A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BE4F-3BE5-4CA4-911B-1F9615EB5F0B}">
  <dimension ref="A1:A3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16</v>
      </c>
    </row>
    <row r="2" spans="1:1" x14ac:dyDescent="0.25">
      <c r="A2" t="s">
        <v>14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6184-4E3A-4B6F-BEAB-EFDFF6B4C96D}">
  <sheetPr>
    <tabColor rgb="FFFFFF00"/>
  </sheetPr>
  <dimension ref="A2:K25"/>
  <sheetViews>
    <sheetView tabSelected="1" zoomScale="85" zoomScaleNormal="85" workbookViewId="0">
      <selection activeCell="B6" sqref="B6"/>
    </sheetView>
  </sheetViews>
  <sheetFormatPr defaultRowHeight="15" x14ac:dyDescent="0.25"/>
  <cols>
    <col min="1" max="1" width="30.42578125" style="10" bestFit="1" customWidth="1"/>
    <col min="2" max="2" width="46.28515625" style="11" customWidth="1"/>
    <col min="3" max="3" width="67.7109375" style="10" bestFit="1" customWidth="1"/>
    <col min="4" max="4" width="9.140625" style="10"/>
    <col min="5" max="5" width="26.28515625" style="10" bestFit="1" customWidth="1"/>
    <col min="6" max="16384" width="9.140625" style="10"/>
  </cols>
  <sheetData>
    <row r="2" spans="1:11" ht="15.75" thickBot="1" x14ac:dyDescent="0.3"/>
    <row r="3" spans="1:11" ht="15.75" thickBot="1" x14ac:dyDescent="0.3">
      <c r="A3" s="28" t="s">
        <v>1</v>
      </c>
      <c r="B3" s="29"/>
      <c r="C3" s="30"/>
      <c r="E3" s="10" t="s">
        <v>25</v>
      </c>
      <c r="G3" s="26" t="s">
        <v>30</v>
      </c>
      <c r="H3" s="26"/>
      <c r="I3" s="26"/>
      <c r="J3" s="26"/>
      <c r="K3" s="26" t="s">
        <v>27</v>
      </c>
    </row>
    <row r="4" spans="1:11" x14ac:dyDescent="0.25">
      <c r="A4" s="8" t="s">
        <v>2</v>
      </c>
      <c r="B4" s="4" t="s">
        <v>15</v>
      </c>
      <c r="C4" s="7" t="s">
        <v>19</v>
      </c>
      <c r="E4" s="10" t="s">
        <v>26</v>
      </c>
      <c r="G4" s="27" t="s">
        <v>40</v>
      </c>
      <c r="H4" s="26"/>
      <c r="I4" s="26"/>
      <c r="J4" s="26"/>
      <c r="K4" s="26" t="s">
        <v>28</v>
      </c>
    </row>
    <row r="5" spans="1:11" ht="15.75" thickBot="1" x14ac:dyDescent="0.3">
      <c r="A5" s="9" t="s">
        <v>3</v>
      </c>
      <c r="B5" s="24" t="str">
        <f>B4</f>
        <v>stratoscape_primary</v>
      </c>
      <c r="C5" s="25" t="s">
        <v>24</v>
      </c>
    </row>
    <row r="6" spans="1:11" ht="124.5" customHeight="1" thickBot="1" x14ac:dyDescent="0.3">
      <c r="A6" s="12" t="s">
        <v>4</v>
      </c>
      <c r="B6" s="13" t="str">
        <f>_xlfn.CONCAT('Porytiles Commands'!B1," ",G3,"data/tilesets/primary/",B4," ",G4,B5," ",G3,"include/constants/metatile_behaviors.h")</f>
        <v>porytiles compile-primary -Wall -o ~/current-projects/pokemon-seel-version/data/tilesets/primary/stratoscape_primary ~/current-projects/pokemon-seel-version/data/tilesets/decompiled/stratoscape_primary ~/current-projects/pokemon-seel-version/include/constants/metatile_behaviors.h</v>
      </c>
      <c r="C6" s="14" t="s">
        <v>18</v>
      </c>
    </row>
    <row r="7" spans="1:11" ht="15.75" thickBot="1" x14ac:dyDescent="0.3"/>
    <row r="8" spans="1:11" ht="15.75" thickBot="1" x14ac:dyDescent="0.3">
      <c r="A8" s="28" t="s">
        <v>5</v>
      </c>
      <c r="B8" s="29"/>
      <c r="C8" s="30"/>
    </row>
    <row r="9" spans="1:11" x14ac:dyDescent="0.25">
      <c r="A9" s="8" t="s">
        <v>2</v>
      </c>
      <c r="B9" s="18" t="s">
        <v>39</v>
      </c>
      <c r="C9" s="5" t="s">
        <v>19</v>
      </c>
    </row>
    <row r="10" spans="1:11" x14ac:dyDescent="0.25">
      <c r="A10" s="16" t="s">
        <v>3</v>
      </c>
      <c r="B10" s="22" t="str">
        <f>B9</f>
        <v>test</v>
      </c>
      <c r="C10" s="23" t="s">
        <v>24</v>
      </c>
    </row>
    <row r="11" spans="1:11" ht="15.75" thickBot="1" x14ac:dyDescent="0.3">
      <c r="A11" s="9" t="s">
        <v>8</v>
      </c>
      <c r="B11" s="19" t="s">
        <v>0</v>
      </c>
      <c r="C11" s="6" t="s">
        <v>21</v>
      </c>
    </row>
    <row r="12" spans="1:11" ht="120.75" thickBot="1" x14ac:dyDescent="0.3">
      <c r="A12" s="12" t="s">
        <v>4</v>
      </c>
      <c r="B12" s="15" t="str">
        <f>_xlfn.CONCAT('Porytiles Commands'!B2," ",G3,"data/tilesets/secondary/",B9," ",G4,B10," ",G4,B11," ",G3,"include/constants/metatile_behaviors.h")</f>
        <v>porytiles compile-secondary -Wall -o ~/current-projects/pokemon-seel-version/data/tilesets/secondary/test ~/current-projects/pokemon-seel-version/data/tilesets/decompiled/test ~/current-projects/pokemon-seel-version/data/tilesets/decompiled/general_seel_version ~/current-projects/pokemon-seel-version/include/constants/metatile_behaviors.h</v>
      </c>
      <c r="C12" s="17" t="s">
        <v>18</v>
      </c>
    </row>
    <row r="13" spans="1:11" ht="15.75" thickBot="1" x14ac:dyDescent="0.3"/>
    <row r="14" spans="1:11" ht="15.75" thickBot="1" x14ac:dyDescent="0.3">
      <c r="A14" s="28" t="s">
        <v>6</v>
      </c>
      <c r="B14" s="29"/>
      <c r="C14" s="30"/>
    </row>
    <row r="15" spans="1:11" x14ac:dyDescent="0.25">
      <c r="A15" s="8" t="s">
        <v>9</v>
      </c>
      <c r="B15" s="4" t="s">
        <v>15</v>
      </c>
      <c r="C15" s="7" t="s">
        <v>20</v>
      </c>
    </row>
    <row r="16" spans="1:11" ht="15.75" thickBot="1" x14ac:dyDescent="0.3">
      <c r="A16" s="9" t="s">
        <v>10</v>
      </c>
      <c r="B16" s="24" t="str">
        <f>B15</f>
        <v>stratoscape_primary</v>
      </c>
      <c r="C16" s="25" t="s">
        <v>24</v>
      </c>
    </row>
    <row r="17" spans="1:3" ht="105.75" thickBot="1" x14ac:dyDescent="0.3">
      <c r="A17" s="12" t="s">
        <v>4</v>
      </c>
      <c r="B17" s="13" t="str">
        <f>_xlfn.CONCAT('Porytiles Commands'!B3," ",G4,'Inputs-Outputs'!B15," ",'Inputs-Outputs'!G3,"data/tilesets/primary/",B16," ",G3,"include/constants/metatile_behaviors.h")</f>
        <v>porytiles decompile-primary -o ~/current-projects/pokemon-seel-version/data/tilesets/decompiled/stratoscape_primary ~/current-projects/pokemon-seel-version/data/tilesets/primary/stratoscape_primary ~/current-projects/pokemon-seel-version/include/constants/metatile_behaviors.h</v>
      </c>
      <c r="C17" s="17" t="s">
        <v>18</v>
      </c>
    </row>
    <row r="18" spans="1:3" ht="15.75" thickBot="1" x14ac:dyDescent="0.3"/>
    <row r="19" spans="1:3" ht="15.75" thickBot="1" x14ac:dyDescent="0.3">
      <c r="A19" s="28" t="s">
        <v>7</v>
      </c>
      <c r="B19" s="29"/>
      <c r="C19" s="30"/>
    </row>
    <row r="20" spans="1:3" x14ac:dyDescent="0.25">
      <c r="A20" s="8" t="s">
        <v>9</v>
      </c>
      <c r="B20" s="18" t="s">
        <v>13</v>
      </c>
      <c r="C20" s="3" t="s">
        <v>20</v>
      </c>
    </row>
    <row r="21" spans="1:3" x14ac:dyDescent="0.25">
      <c r="A21" s="16" t="s">
        <v>11</v>
      </c>
      <c r="B21" s="22" t="str">
        <f>B20</f>
        <v>dominion_city</v>
      </c>
      <c r="C21" s="23" t="s">
        <v>24</v>
      </c>
    </row>
    <row r="22" spans="1:3" ht="15.75" thickBot="1" x14ac:dyDescent="0.3">
      <c r="A22" s="9" t="s">
        <v>12</v>
      </c>
      <c r="B22" s="19" t="s">
        <v>0</v>
      </c>
      <c r="C22" s="6" t="s">
        <v>21</v>
      </c>
    </row>
    <row r="23" spans="1:3" ht="135.75" thickBot="1" x14ac:dyDescent="0.3">
      <c r="A23" s="12" t="s">
        <v>4</v>
      </c>
      <c r="B23" s="15" t="str">
        <f>_xlfn.CONCAT('Porytiles Commands'!B4,," ",'Inputs-Outputs'!G4,'Inputs-Outputs'!B20," ",'Inputs-Outputs'!G3,"data/tilesets/secondary/",'Inputs-Outputs'!B21," ",'Inputs-Outputs'!G3,"data/tilesets/primary/",'Inputs-Outputs'!B22," ",'Inputs-Outputs'!G3,"include/constants/metatile_behaviors.h")</f>
        <v>porytiles decompile-secondary -Wall -o ~/current-projects/pokemon-seel-version/data/tilesets/decompiled/dominion_city ~/current-projects/pokemon-seel-version/data/tilesets/secondary/dominion_city ~/current-projects/pokemon-seel-version/data/tilesets/primary/general_seel_version ~/current-projects/pokemon-seel-version/include/constants/metatile_behaviors.h</v>
      </c>
      <c r="C23" s="17" t="s">
        <v>18</v>
      </c>
    </row>
    <row r="24" spans="1:3" ht="15.75" thickBot="1" x14ac:dyDescent="0.3"/>
    <row r="25" spans="1:3" ht="30.75" thickBot="1" x14ac:dyDescent="0.3">
      <c r="A25" s="20" t="s">
        <v>23</v>
      </c>
      <c r="B25" s="21" t="s">
        <v>22</v>
      </c>
    </row>
  </sheetData>
  <mergeCells count="4">
    <mergeCell ref="A3:C3"/>
    <mergeCell ref="A8:C8"/>
    <mergeCell ref="A14:C14"/>
    <mergeCell ref="A19:C19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Porytiles Commands</vt:lpstr>
      <vt:lpstr>Primary Tilesets</vt:lpstr>
      <vt:lpstr>Secondary Tilesets</vt:lpstr>
      <vt:lpstr>Inputs-Outputs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Wasula</dc:creator>
  <cp:lastModifiedBy>Robert Wasula</cp:lastModifiedBy>
  <dcterms:created xsi:type="dcterms:W3CDTF">2025-03-01T13:10:22Z</dcterms:created>
  <dcterms:modified xsi:type="dcterms:W3CDTF">2025-05-30T11:25:32Z</dcterms:modified>
</cp:coreProperties>
</file>